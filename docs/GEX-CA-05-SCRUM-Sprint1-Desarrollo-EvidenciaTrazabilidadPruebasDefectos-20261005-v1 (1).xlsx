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zabilidad" sheetId="1" state="visible" r:id="rId3"/>
    <sheet name="Pruebas" sheetId="2" state="visible" r:id="rId4"/>
    <sheet name="Defectos y retrabaj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<sst xmlns="http://schemas.openxmlformats.org/spreadsheetml/2006/main" count="287" uniqueCount="182">
  <si>
    <t xml:space="preserve">Matriz de trazabilidad - Sprint 1 (GEX-CA-05-SCRUM)</t>
  </si>
  <si>
    <t xml:space="preserve">Commits tomados de git log. HU04 incluye 2b46dc2 (rutas) y 6fa99fd (coordinación y frontend).</t>
  </si>
  <si>
    <t xml:space="preserve">ID</t>
  </si>
  <si>
    <t xml:space="preserve">Historia</t>
  </si>
  <si>
    <t xml:space="preserve">Criterios de aceptación</t>
  </si>
  <si>
    <t xml:space="preserve">Puntos</t>
  </si>
  <si>
    <t xml:space="preserve">Prueba</t>
  </si>
  <si>
    <t xml:space="preserve">Rama</t>
  </si>
  <si>
    <t xml:space="preserve">Commit</t>
  </si>
  <si>
    <t xml:space="preserve">Merge a main (PR)</t>
  </si>
  <si>
    <t xml:space="preserve">Estado</t>
  </si>
  <si>
    <t xml:space="preserve">HU01</t>
  </si>
  <si>
    <t xml:space="preserve">Iniciar sesión para acceder solo a las funciones de mi rol</t>
  </si>
  <si>
    <t xml:space="preserve">Credenciales válidas permiten acceso; inválidas no revelan si el usuario existe; la sesión puede cerrarse; no se accede a funciones de otro rol</t>
  </si>
  <si>
    <t xml:space="preserve">PA-01</t>
  </si>
  <si>
    <t xml:space="preserve">feature/HU01-login</t>
  </si>
  <si>
    <t xml:space="preserve">e7499b8</t>
  </si>
  <si>
    <t xml:space="preserve">#2</t>
  </si>
  <si>
    <t xml:space="preserve">Hecha</t>
  </si>
  <si>
    <t xml:space="preserve">HU02</t>
  </si>
  <si>
    <t xml:space="preserve">Crear una solicitud para pedir soporte</t>
  </si>
  <si>
    <t xml:space="preserve">Título, descripción y categoría obligatorios; se genera ID, fecha, estado Nuevo y propietario</t>
  </si>
  <si>
    <t xml:space="preserve">PA-02</t>
  </si>
  <si>
    <t xml:space="preserve">feature/HU02-crear-solicitud</t>
  </si>
  <si>
    <t xml:space="preserve">2f0ff33</t>
  </si>
  <si>
    <t xml:space="preserve">#3</t>
  </si>
  <si>
    <t xml:space="preserve">HU03</t>
  </si>
  <si>
    <t xml:space="preserve">Consultar mis solicitudes para conocer su estado</t>
  </si>
  <si>
    <t xml:space="preserve">Lista solo las propias; permite abrir detalle; muestra estado y última actualización</t>
  </si>
  <si>
    <t xml:space="preserve">PA-03</t>
  </si>
  <si>
    <t xml:space="preserve">feature/HU03-consultar-solicitudes</t>
  </si>
  <si>
    <t xml:space="preserve">d19c9df</t>
  </si>
  <si>
    <t xml:space="preserve">#4</t>
  </si>
  <si>
    <t xml:space="preserve">HU04</t>
  </si>
  <si>
    <t xml:space="preserve">Priorizar solicitudes para ordenar la atención</t>
  </si>
  <si>
    <t xml:space="preserve">Prioridad válida; cambio trazable; lista ordenable por prioridad, estado y fecha; solo el coordinador modifica</t>
  </si>
  <si>
    <t xml:space="preserve">PA-04</t>
  </si>
  <si>
    <t xml:space="preserve">feature/HU04-priorizar</t>
  </si>
  <si>
    <t xml:space="preserve">2b46dc2, 6fa99fd</t>
  </si>
  <si>
    <t xml:space="preserve">#5 y #6</t>
  </si>
  <si>
    <t xml:space="preserve">Total de puntos del sprint</t>
  </si>
  <si>
    <t xml:space="preserve">Puntos en estado Hecha</t>
  </si>
  <si>
    <t xml:space="preserve">Registro de pruebas - Sprint 1</t>
  </si>
  <si>
    <t xml:space="preserve">Resultados reportados por el equipo desarrollador. La columna Resultado admite: Aprobada, Fallida o Por completar.</t>
  </si>
  <si>
    <t xml:space="preserve">Caso</t>
  </si>
  <si>
    <t xml:space="preserve">HU</t>
  </si>
  <si>
    <t xml:space="preserve">Acción</t>
  </si>
  <si>
    <t xml:space="preserve">Resultado esperado</t>
  </si>
  <si>
    <t xml:space="preserve">Resultado</t>
  </si>
  <si>
    <t xml:space="preserve">Fecha</t>
  </si>
  <si>
    <t xml:space="preserve">Observaciones</t>
  </si>
  <si>
    <t xml:space="preserve">PA-01-01</t>
  </si>
  <si>
    <t xml:space="preserve">Login válido</t>
  </si>
  <si>
    <t xml:space="preserve">POST /api/auth/login con coordinador01</t>
  </si>
  <si>
    <t xml:space="preserve">200 y rol del usuario</t>
  </si>
  <si>
    <t xml:space="preserve">Aprobada</t>
  </si>
  <si>
    <t xml:space="preserve">2026-10-05</t>
  </si>
  <si>
    <t xml:space="preserve">PA-01-02</t>
  </si>
  <si>
    <t xml:space="preserve">Usuario inexistente</t>
  </si>
  <si>
    <t xml:space="preserve">Login con código que no existe</t>
  </si>
  <si>
    <t xml:space="preserve">401 Credenciales inválidas</t>
  </si>
  <si>
    <t xml:space="preserve">PA-01-03</t>
  </si>
  <si>
    <t xml:space="preserve">Clave incorrecta</t>
  </si>
  <si>
    <t xml:space="preserve">Login con clave errada</t>
  </si>
  <si>
    <t xml:space="preserve">401 con el mismo mensaje</t>
  </si>
  <si>
    <t xml:space="preserve">PA-01-04</t>
  </si>
  <si>
    <t xml:space="preserve">Usuario inactivo</t>
  </si>
  <si>
    <t xml:space="preserve">Login con agente02</t>
  </si>
  <si>
    <t xml:space="preserve">PA-01-05</t>
  </si>
  <si>
    <t xml:space="preserve">Rol incorrecto</t>
  </si>
  <si>
    <t xml:space="preserve">Solicitante intenta ruta de coordinador</t>
  </si>
  <si>
    <t xml:space="preserve">403</t>
  </si>
  <si>
    <t xml:space="preserve">PA-01-06</t>
  </si>
  <si>
    <t xml:space="preserve">Sin sesión</t>
  </si>
  <si>
    <t xml:space="preserve">GET /api/auth/yo sin login</t>
  </si>
  <si>
    <t xml:space="preserve">401</t>
  </si>
  <si>
    <t xml:space="preserve">PA-01-07</t>
  </si>
  <si>
    <t xml:space="preserve">Cierre de sesión</t>
  </si>
  <si>
    <t xml:space="preserve">Logout y luego GET /api/auth/yo</t>
  </si>
  <si>
    <t xml:space="preserve">PA-02-08</t>
  </si>
  <si>
    <t xml:space="preserve">Crear solicitud válida</t>
  </si>
  <si>
    <t xml:space="preserve">POST con título, descripción y categoría</t>
  </si>
  <si>
    <t xml:space="preserve">201 con ID, fecha, estado Nuevo y propietario</t>
  </si>
  <si>
    <t xml:space="preserve">PA-02-09</t>
  </si>
  <si>
    <t xml:space="preserve">Sin título</t>
  </si>
  <si>
    <t xml:space="preserve">POST sin título</t>
  </si>
  <si>
    <t xml:space="preserve">400</t>
  </si>
  <si>
    <t xml:space="preserve">PA-02-10</t>
  </si>
  <si>
    <t xml:space="preserve">Sin descripción</t>
  </si>
  <si>
    <t xml:space="preserve">POST sin descripción</t>
  </si>
  <si>
    <t xml:space="preserve">PA-02-11</t>
  </si>
  <si>
    <t xml:space="preserve">Sin categoría</t>
  </si>
  <si>
    <t xml:space="preserve">POST sin categoría</t>
  </si>
  <si>
    <t xml:space="preserve">PA-02-12</t>
  </si>
  <si>
    <t xml:space="preserve">Categoría inválida</t>
  </si>
  <si>
    <t xml:space="preserve">POST con categoría inventada</t>
  </si>
  <si>
    <t xml:space="preserve">400 Categoría no válida</t>
  </si>
  <si>
    <t xml:space="preserve">PA-02-13</t>
  </si>
  <si>
    <t xml:space="preserve">Coordinador intenta crear</t>
  </si>
  <si>
    <t xml:space="preserve">PA-03-14</t>
  </si>
  <si>
    <t xml:space="preserve">Ver mis solicitudes</t>
  </si>
  <si>
    <t xml:space="preserve">GET /api/solicitudes como solicitante01</t>
  </si>
  <si>
    <t xml:space="preserve">200 solo las propias</t>
  </si>
  <si>
    <t xml:space="preserve">PA-03-15</t>
  </si>
  <si>
    <t xml:space="preserve">Detalle propio</t>
  </si>
  <si>
    <t xml:space="preserve">GET /api/solicitudes/:id propio</t>
  </si>
  <si>
    <t xml:space="preserve">200 con detalle</t>
  </si>
  <si>
    <t xml:space="preserve">PA-03-16</t>
  </si>
  <si>
    <t xml:space="preserve">Solicitud ajena</t>
  </si>
  <si>
    <t xml:space="preserve">solicitante02 pide una de solicitante01</t>
  </si>
  <si>
    <t xml:space="preserve">404</t>
  </si>
  <si>
    <t xml:space="preserve">PA-03-17</t>
  </si>
  <si>
    <t xml:space="preserve">ID inexistente o inválido</t>
  </si>
  <si>
    <t xml:space="preserve">GET /api/solicitudes/9999 y /abc</t>
  </si>
  <si>
    <t xml:space="preserve">PA-03-18</t>
  </si>
  <si>
    <t xml:space="preserve">Coordinador en GET /api/solicitudes</t>
  </si>
  <si>
    <t xml:space="preserve">PA-04-19</t>
  </si>
  <si>
    <t xml:space="preserve">Listar todas</t>
  </si>
  <si>
    <t xml:space="preserve">GET /api/coordinacion/solicitudes como coordinador</t>
  </si>
  <si>
    <t xml:space="preserve">200 con todas</t>
  </si>
  <si>
    <t xml:space="preserve">PA-04-20</t>
  </si>
  <si>
    <t xml:space="preserve">Ordenar por prioridad, estado y fecha</t>
  </si>
  <si>
    <t xml:space="preserve">Parámetros orden y dir</t>
  </si>
  <si>
    <t xml:space="preserve">Lista en el orden pedido</t>
  </si>
  <si>
    <t xml:space="preserve">PA-04-21</t>
  </si>
  <si>
    <t xml:space="preserve">Orden inválido</t>
  </si>
  <si>
    <t xml:space="preserve">orden=cualquiera</t>
  </si>
  <si>
    <t xml:space="preserve">PA-04-22</t>
  </si>
  <si>
    <t xml:space="preserve">Cambiar prioridad</t>
  </si>
  <si>
    <t xml:space="preserve">PATCH con prioridad Alta</t>
  </si>
  <si>
    <t xml:space="preserve">200 y fila en historial_cambios</t>
  </si>
  <si>
    <t xml:space="preserve">PA-04-23</t>
  </si>
  <si>
    <t xml:space="preserve">Prioridad inválida</t>
  </si>
  <si>
    <t xml:space="preserve">PATCH con Urgente</t>
  </si>
  <si>
    <t xml:space="preserve">PA-04-24</t>
  </si>
  <si>
    <t xml:space="preserve">Solicitante intenta el PATCH</t>
  </si>
  <si>
    <t xml:space="preserve">Total de casos</t>
  </si>
  <si>
    <t xml:space="preserve">Aprobadas</t>
  </si>
  <si>
    <t xml:space="preserve">Fallidas</t>
  </si>
  <si>
    <t xml:space="preserve">Por completar</t>
  </si>
  <si>
    <t xml:space="preserve">Registro de defectos y retrabajo - Sprint 1</t>
  </si>
  <si>
    <t xml:space="preserve">Agregar una fila por cada defecto nuevo. Retrabajo = tiempo dedicado a corregirlo.</t>
  </si>
  <si>
    <t xml:space="preserve">Descripción</t>
  </si>
  <si>
    <t xml:space="preserve">Severidad</t>
  </si>
  <si>
    <t xml:space="preserve">Causa</t>
  </si>
  <si>
    <t xml:space="preserve">Corrección</t>
  </si>
  <si>
    <t xml:space="preserve">D-01</t>
  </si>
  <si>
    <t xml:space="preserve">Carpeta backend/src desapareció al cambiar de rama; las ramas no se habían unido a main</t>
  </si>
  <si>
    <t xml:space="preserve">Media</t>
  </si>
  <si>
    <t xml:space="preserve">Trabajo en rama sin merge; se creó HU01 desde la rama anterior</t>
  </si>
  <si>
    <t xml:space="preserve">Se recuperó desde la rama y se unió HU01 a main</t>
  </si>
  <si>
    <t xml:space="preserve">Cerrado</t>
  </si>
  <si>
    <t xml:space="preserve">D-02</t>
  </si>
  <si>
    <t xml:space="preserve">La ruta /api/coordinacion estaba registrada antes del middleware de sesión</t>
  </si>
  <si>
    <t xml:space="preserve">Alta</t>
  </si>
  <si>
    <t xml:space="preserve">Orden incorrecto en index.js</t>
  </si>
  <si>
    <t xml:space="preserve">Se movió después de app.use(session)</t>
  </si>
  <si>
    <t xml:space="preserve">D-03</t>
  </si>
  <si>
    <t xml:space="preserve">Falta routes/coordinacion.js al cambiar de rama; el servidor no arrancaba</t>
  </si>
  <si>
    <t xml:space="preserve">Archivo solo existía en la rama de HU04</t>
  </si>
  <si>
    <t xml:space="preserve">Se recreó y se unió a main</t>
  </si>
  <si>
    <t xml:space="preserve">D-04</t>
  </si>
  <si>
    <t xml:space="preserve">Frontend</t>
  </si>
  <si>
    <t xml:space="preserve">Mensaje 'Todavía no hay solicitudes' se mostraba también cuando la petición fallaba</t>
  </si>
  <si>
    <t xml:space="preserve">Baja</t>
  </si>
  <si>
    <t xml:space="preserve">No se distinguía lista vacía de error</t>
  </si>
  <si>
    <t xml:space="preserve">La pantalla ahora muestra el código de error</t>
  </si>
  <si>
    <t xml:space="preserve">D-05</t>
  </si>
  <si>
    <t xml:space="preserve">Repositorio</t>
  </si>
  <si>
    <t xml:space="preserve">Pull Request duplicado con conflicto (base de datos y backend)</t>
  </si>
  <si>
    <t xml:space="preserve">Dos ramas con el mismo trabajo</t>
  </si>
  <si>
    <t xml:space="preserve">Se cerró el PR duplicado sin merge</t>
  </si>
  <si>
    <t xml:space="preserve">D-06</t>
  </si>
  <si>
    <t xml:space="preserve">Conflicto al unir frontend/index.html y backend/src/index.js con main</t>
  </si>
  <si>
    <t xml:space="preserve">El archivo llegó a main por otra rama</t>
  </si>
  <si>
    <t xml:space="preserve">Se conservó la versión probada y se resolvió el merge</t>
  </si>
  <si>
    <t xml:space="preserve">D-07</t>
  </si>
  <si>
    <t xml:space="preserve">El mensaje del commit 2b46dc2 quedó mal escrito (incluye el texto 'git commit -m')</t>
  </si>
  <si>
    <t xml:space="preserve">Comando escrito dentro del mensaje</t>
  </si>
  <si>
    <t xml:space="preserve">Se documenta; el commit 6fa99fd registra el trabajo con mensaje correcto</t>
  </si>
  <si>
    <t xml:space="preserve">Defectos cerrados</t>
  </si>
  <si>
    <t xml:space="preserve">Defectos abiertos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</si>
</sst>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A4D46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A4D4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23.85" hidden="false" customHeight="false" outlineLevel="0" collapsed="false">
      <c r="A4" s="4" t="s">
        <v>11</v>
      </c>
      <c r="B4" s="4" t="s">
        <v>12</v>
      </c>
      <c r="C4" s="4" t="s">
        <v>13</v>
      </c>
      <c r="D4" s="4" t="n">
        <v>5</v>
      </c>
      <c r="E4" s="4" t="s">
        <v>14</v>
      </c>
      <c r="F4" s="4" t="s">
        <v>15</v>
      </c>
      <c r="G4" s="4" t="s">
        <v>16</v>
      </c>
      <c r="H4" s="4" t="s">
        <v>17</v>
      </c>
      <c r="I4" s="4" t="s">
        <v>18</v>
      </c>
    </row>
    <row r="5" customFormat="false" ht="23.85" hidden="false" customHeight="false" outlineLevel="0" collapsed="false">
      <c r="A5" s="4" t="s">
        <v>19</v>
      </c>
      <c r="B5" s="4" t="s">
        <v>20</v>
      </c>
      <c r="C5" s="4" t="s">
        <v>21</v>
      </c>
      <c r="D5" s="4" t="n">
        <v>5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18</v>
      </c>
    </row>
    <row r="6" customFormat="false" ht="23.85" hidden="false" customHeight="false" outlineLevel="0" collapsed="false">
      <c r="A6" s="4" t="s">
        <v>26</v>
      </c>
      <c r="B6" s="4" t="s">
        <v>27</v>
      </c>
      <c r="C6" s="4" t="s">
        <v>28</v>
      </c>
      <c r="D6" s="4" t="n">
        <v>3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18</v>
      </c>
    </row>
    <row r="7" customFormat="false" ht="23.85" hidden="false" customHeight="false" outlineLevel="0" collapsed="false">
      <c r="A7" s="4" t="s">
        <v>33</v>
      </c>
      <c r="B7" s="4" t="s">
        <v>34</v>
      </c>
      <c r="C7" s="4" t="s">
        <v>35</v>
      </c>
      <c r="D7" s="4" t="n">
        <v>3</v>
      </c>
      <c r="E7" s="4" t="s">
        <v>36</v>
      </c>
      <c r="F7" s="4" t="s">
        <v>37</v>
      </c>
      <c r="G7" s="4" t="s">
        <v>38</v>
      </c>
      <c r="H7" s="4" t="s">
        <v>39</v>
      </c>
      <c r="I7" s="4" t="s">
        <v>18</v>
      </c>
    </row>
    <row r="9" customFormat="false" ht="15" hidden="false" customHeight="false" outlineLevel="0" collapsed="false">
      <c r="A9" s="5" t="s">
        <v>40</v>
      </c>
      <c r="D9" s="5" t="n">
        <f aca="false">SUM(D4:D7)</f>
        <v>16</v>
      </c>
    </row>
    <row r="10" customFormat="false" ht="15" hidden="false" customHeight="false" outlineLevel="0" collapsed="false">
      <c r="A10" s="5" t="s">
        <v>41</v>
      </c>
      <c r="D10" s="5" t="n">
        <f aca="false">SUMIFS(D4:D7,I4:I7,"Hecha")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44"/>
    <col collapsed="false" customWidth="true" hidden="false" outlineLevel="0" max="5" min="5" style="0" width="38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6"/>
  </cols>
  <sheetData>
    <row r="1" customFormat="false" ht="16.1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3" customFormat="false" ht="15" hidden="false" customHeight="false" outlineLevel="0" collapsed="false">
      <c r="A3" s="3" t="s">
        <v>44</v>
      </c>
      <c r="B3" s="3" t="s">
        <v>45</v>
      </c>
      <c r="C3" s="3" t="s">
        <v>6</v>
      </c>
      <c r="D3" s="3" t="s">
        <v>46</v>
      </c>
      <c r="E3" s="3" t="s">
        <v>47</v>
      </c>
      <c r="F3" s="3" t="s">
        <v>48</v>
      </c>
      <c r="G3" s="3" t="s">
        <v>49</v>
      </c>
      <c r="H3" s="3" t="s">
        <v>50</v>
      </c>
    </row>
    <row r="4" customFormat="false" ht="15" hidden="false" customHeight="false" outlineLevel="0" collapsed="false">
      <c r="A4" s="4" t="s">
        <v>51</v>
      </c>
      <c r="B4" s="4" t="s">
        <v>11</v>
      </c>
      <c r="C4" s="4" t="s">
        <v>52</v>
      </c>
      <c r="D4" s="4" t="s">
        <v>53</v>
      </c>
      <c r="E4" s="4" t="s">
        <v>54</v>
      </c>
      <c r="F4" s="4" t="s">
        <v>55</v>
      </c>
      <c r="G4" s="4" t="s">
        <v>56</v>
      </c>
      <c r="H4" s="4"/>
    </row>
    <row r="5" customFormat="false" ht="15" hidden="false" customHeight="false" outlineLevel="0" collapsed="false">
      <c r="A5" s="4" t="s">
        <v>57</v>
      </c>
      <c r="B5" s="4" t="s">
        <v>11</v>
      </c>
      <c r="C5" s="4" t="s">
        <v>58</v>
      </c>
      <c r="D5" s="4" t="s">
        <v>59</v>
      </c>
      <c r="E5" s="4" t="s">
        <v>60</v>
      </c>
      <c r="F5" s="4" t="s">
        <v>55</v>
      </c>
      <c r="G5" s="4" t="s">
        <v>56</v>
      </c>
      <c r="H5" s="4"/>
    </row>
    <row r="6" customFormat="false" ht="15" hidden="false" customHeight="false" outlineLevel="0" collapsed="false">
      <c r="A6" s="4" t="s">
        <v>61</v>
      </c>
      <c r="B6" s="4" t="s">
        <v>11</v>
      </c>
      <c r="C6" s="4" t="s">
        <v>62</v>
      </c>
      <c r="D6" s="4" t="s">
        <v>63</v>
      </c>
      <c r="E6" s="4" t="s">
        <v>64</v>
      </c>
      <c r="F6" s="4" t="s">
        <v>55</v>
      </c>
      <c r="G6" s="4" t="s">
        <v>56</v>
      </c>
      <c r="H6" s="4"/>
    </row>
    <row r="7" customFormat="false" ht="15" hidden="false" customHeight="false" outlineLevel="0" collapsed="false">
      <c r="A7" s="4" t="s">
        <v>65</v>
      </c>
      <c r="B7" s="4" t="s">
        <v>11</v>
      </c>
      <c r="C7" s="4" t="s">
        <v>66</v>
      </c>
      <c r="D7" s="4" t="s">
        <v>67</v>
      </c>
      <c r="E7" s="4" t="s">
        <v>60</v>
      </c>
      <c r="F7" s="4" t="s">
        <v>55</v>
      </c>
      <c r="G7" s="4" t="s">
        <v>56</v>
      </c>
      <c r="H7" s="4"/>
    </row>
    <row r="8" customFormat="false" ht="15" hidden="false" customHeight="false" outlineLevel="0" collapsed="false">
      <c r="A8" s="4" t="s">
        <v>68</v>
      </c>
      <c r="B8" s="4" t="s">
        <v>11</v>
      </c>
      <c r="C8" s="4" t="s">
        <v>69</v>
      </c>
      <c r="D8" s="4" t="s">
        <v>70</v>
      </c>
      <c r="E8" s="4" t="s">
        <v>71</v>
      </c>
      <c r="F8" s="4" t="s">
        <v>55</v>
      </c>
      <c r="G8" s="4" t="s">
        <v>56</v>
      </c>
      <c r="H8" s="4"/>
    </row>
    <row r="9" customFormat="false" ht="15" hidden="false" customHeight="false" outlineLevel="0" collapsed="false">
      <c r="A9" s="4" t="s">
        <v>72</v>
      </c>
      <c r="B9" s="4" t="s">
        <v>11</v>
      </c>
      <c r="C9" s="4" t="s">
        <v>73</v>
      </c>
      <c r="D9" s="4" t="s">
        <v>74</v>
      </c>
      <c r="E9" s="4" t="s">
        <v>75</v>
      </c>
      <c r="F9" s="4" t="s">
        <v>55</v>
      </c>
      <c r="G9" s="4" t="s">
        <v>56</v>
      </c>
      <c r="H9" s="4"/>
    </row>
    <row r="10" customFormat="false" ht="15" hidden="false" customHeight="false" outlineLevel="0" collapsed="false">
      <c r="A10" s="4" t="s">
        <v>76</v>
      </c>
      <c r="B10" s="4" t="s">
        <v>11</v>
      </c>
      <c r="C10" s="4" t="s">
        <v>77</v>
      </c>
      <c r="D10" s="4" t="s">
        <v>78</v>
      </c>
      <c r="E10" s="4" t="s">
        <v>75</v>
      </c>
      <c r="F10" s="4" t="s">
        <v>55</v>
      </c>
      <c r="G10" s="4" t="s">
        <v>56</v>
      </c>
      <c r="H10" s="4"/>
    </row>
    <row r="11" customFormat="false" ht="15" hidden="false" customHeight="false" outlineLevel="0" collapsed="false">
      <c r="A11" s="4" t="s">
        <v>79</v>
      </c>
      <c r="B11" s="4" t="s">
        <v>19</v>
      </c>
      <c r="C11" s="4" t="s">
        <v>80</v>
      </c>
      <c r="D11" s="4" t="s">
        <v>81</v>
      </c>
      <c r="E11" s="4" t="s">
        <v>82</v>
      </c>
      <c r="F11" s="4" t="s">
        <v>55</v>
      </c>
      <c r="G11" s="4" t="s">
        <v>56</v>
      </c>
      <c r="H11" s="4"/>
    </row>
    <row r="12" customFormat="false" ht="15" hidden="false" customHeight="false" outlineLevel="0" collapsed="false">
      <c r="A12" s="4" t="s">
        <v>83</v>
      </c>
      <c r="B12" s="4" t="s">
        <v>19</v>
      </c>
      <c r="C12" s="4" t="s">
        <v>84</v>
      </c>
      <c r="D12" s="4" t="s">
        <v>85</v>
      </c>
      <c r="E12" s="4" t="s">
        <v>86</v>
      </c>
      <c r="F12" s="4" t="s">
        <v>55</v>
      </c>
      <c r="G12" s="4" t="s">
        <v>56</v>
      </c>
      <c r="H12" s="4"/>
    </row>
    <row r="13" customFormat="false" ht="15" hidden="false" customHeight="false" outlineLevel="0" collapsed="false">
      <c r="A13" s="4" t="s">
        <v>87</v>
      </c>
      <c r="B13" s="4" t="s">
        <v>19</v>
      </c>
      <c r="C13" s="4" t="s">
        <v>88</v>
      </c>
      <c r="D13" s="4" t="s">
        <v>89</v>
      </c>
      <c r="E13" s="4" t="s">
        <v>86</v>
      </c>
      <c r="F13" s="4" t="s">
        <v>55</v>
      </c>
      <c r="G13" s="4" t="s">
        <v>56</v>
      </c>
      <c r="H13" s="4"/>
    </row>
    <row r="14" customFormat="false" ht="15" hidden="false" customHeight="false" outlineLevel="0" collapsed="false">
      <c r="A14" s="4" t="s">
        <v>90</v>
      </c>
      <c r="B14" s="4" t="s">
        <v>19</v>
      </c>
      <c r="C14" s="4" t="s">
        <v>91</v>
      </c>
      <c r="D14" s="4" t="s">
        <v>92</v>
      </c>
      <c r="E14" s="4" t="s">
        <v>86</v>
      </c>
      <c r="F14" s="4" t="s">
        <v>55</v>
      </c>
      <c r="G14" s="4" t="s">
        <v>56</v>
      </c>
      <c r="H14" s="4"/>
    </row>
    <row r="15" customFormat="false" ht="15" hidden="false" customHeight="false" outlineLevel="0" collapsed="false">
      <c r="A15" s="4" t="s">
        <v>93</v>
      </c>
      <c r="B15" s="4" t="s">
        <v>19</v>
      </c>
      <c r="C15" s="4" t="s">
        <v>94</v>
      </c>
      <c r="D15" s="4" t="s">
        <v>95</v>
      </c>
      <c r="E15" s="4" t="s">
        <v>96</v>
      </c>
      <c r="F15" s="4" t="s">
        <v>55</v>
      </c>
      <c r="G15" s="4" t="s">
        <v>56</v>
      </c>
      <c r="H15" s="4"/>
    </row>
    <row r="16" customFormat="false" ht="15" hidden="false" customHeight="false" outlineLevel="0" collapsed="false">
      <c r="A16" s="4" t="s">
        <v>97</v>
      </c>
      <c r="B16" s="4" t="s">
        <v>19</v>
      </c>
      <c r="C16" s="4" t="s">
        <v>69</v>
      </c>
      <c r="D16" s="4" t="s">
        <v>98</v>
      </c>
      <c r="E16" s="4" t="s">
        <v>71</v>
      </c>
      <c r="F16" s="4" t="s">
        <v>55</v>
      </c>
      <c r="G16" s="4" t="s">
        <v>56</v>
      </c>
      <c r="H16" s="4"/>
    </row>
    <row r="17" customFormat="false" ht="15" hidden="false" customHeight="false" outlineLevel="0" collapsed="false">
      <c r="A17" s="4" t="s">
        <v>99</v>
      </c>
      <c r="B17" s="4" t="s">
        <v>26</v>
      </c>
      <c r="C17" s="4" t="s">
        <v>100</v>
      </c>
      <c r="D17" s="4" t="s">
        <v>101</v>
      </c>
      <c r="E17" s="4" t="s">
        <v>102</v>
      </c>
      <c r="F17" s="4" t="s">
        <v>55</v>
      </c>
      <c r="G17" s="4" t="s">
        <v>56</v>
      </c>
      <c r="H17" s="4"/>
    </row>
    <row r="18" customFormat="false" ht="15" hidden="false" customHeight="false" outlineLevel="0" collapsed="false">
      <c r="A18" s="4" t="s">
        <v>103</v>
      </c>
      <c r="B18" s="4" t="s">
        <v>26</v>
      </c>
      <c r="C18" s="4" t="s">
        <v>104</v>
      </c>
      <c r="D18" s="4" t="s">
        <v>105</v>
      </c>
      <c r="E18" s="4" t="s">
        <v>106</v>
      </c>
      <c r="F18" s="4" t="s">
        <v>55</v>
      </c>
      <c r="G18" s="4" t="s">
        <v>56</v>
      </c>
      <c r="H18" s="4"/>
    </row>
    <row r="19" customFormat="false" ht="15" hidden="false" customHeight="false" outlineLevel="0" collapsed="false">
      <c r="A19" s="4" t="s">
        <v>107</v>
      </c>
      <c r="B19" s="4" t="s">
        <v>26</v>
      </c>
      <c r="C19" s="4" t="s">
        <v>108</v>
      </c>
      <c r="D19" s="4" t="s">
        <v>109</v>
      </c>
      <c r="E19" s="4" t="s">
        <v>110</v>
      </c>
      <c r="F19" s="4" t="s">
        <v>55</v>
      </c>
      <c r="G19" s="4" t="s">
        <v>56</v>
      </c>
      <c r="H19" s="4"/>
    </row>
    <row r="20" customFormat="false" ht="15" hidden="false" customHeight="false" outlineLevel="0" collapsed="false">
      <c r="A20" s="4" t="s">
        <v>111</v>
      </c>
      <c r="B20" s="4" t="s">
        <v>26</v>
      </c>
      <c r="C20" s="4" t="s">
        <v>112</v>
      </c>
      <c r="D20" s="4" t="s">
        <v>113</v>
      </c>
      <c r="E20" s="4" t="s">
        <v>110</v>
      </c>
      <c r="F20" s="4" t="s">
        <v>55</v>
      </c>
      <c r="G20" s="4" t="s">
        <v>56</v>
      </c>
      <c r="H20" s="4"/>
    </row>
    <row r="21" customFormat="false" ht="15" hidden="false" customHeight="false" outlineLevel="0" collapsed="false">
      <c r="A21" s="4" t="s">
        <v>114</v>
      </c>
      <c r="B21" s="4" t="s">
        <v>26</v>
      </c>
      <c r="C21" s="4" t="s">
        <v>69</v>
      </c>
      <c r="D21" s="4" t="s">
        <v>115</v>
      </c>
      <c r="E21" s="4" t="s">
        <v>71</v>
      </c>
      <c r="F21" s="4" t="s">
        <v>55</v>
      </c>
      <c r="G21" s="4" t="s">
        <v>56</v>
      </c>
      <c r="H21" s="4"/>
    </row>
    <row r="22" customFormat="false" ht="15" hidden="false" customHeight="false" outlineLevel="0" collapsed="false">
      <c r="A22" s="4" t="s">
        <v>116</v>
      </c>
      <c r="B22" s="4" t="s">
        <v>33</v>
      </c>
      <c r="C22" s="4" t="s">
        <v>117</v>
      </c>
      <c r="D22" s="4" t="s">
        <v>118</v>
      </c>
      <c r="E22" s="4" t="s">
        <v>119</v>
      </c>
      <c r="F22" s="4" t="s">
        <v>55</v>
      </c>
      <c r="G22" s="4" t="s">
        <v>56</v>
      </c>
      <c r="H22" s="4"/>
    </row>
    <row r="23" customFormat="false" ht="23.85" hidden="false" customHeight="false" outlineLevel="0" collapsed="false">
      <c r="A23" s="4" t="s">
        <v>120</v>
      </c>
      <c r="B23" s="4" t="s">
        <v>33</v>
      </c>
      <c r="C23" s="4" t="s">
        <v>121</v>
      </c>
      <c r="D23" s="4" t="s">
        <v>122</v>
      </c>
      <c r="E23" s="4" t="s">
        <v>123</v>
      </c>
      <c r="F23" s="4" t="s">
        <v>55</v>
      </c>
      <c r="G23" s="4" t="s">
        <v>56</v>
      </c>
      <c r="H23" s="4"/>
    </row>
    <row r="24" customFormat="false" ht="15" hidden="false" customHeight="false" outlineLevel="0" collapsed="false">
      <c r="A24" s="4" t="s">
        <v>124</v>
      </c>
      <c r="B24" s="4" t="s">
        <v>33</v>
      </c>
      <c r="C24" s="4" t="s">
        <v>125</v>
      </c>
      <c r="D24" s="4" t="s">
        <v>126</v>
      </c>
      <c r="E24" s="4" t="s">
        <v>86</v>
      </c>
      <c r="F24" s="4" t="s">
        <v>55</v>
      </c>
      <c r="G24" s="4" t="s">
        <v>56</v>
      </c>
      <c r="H24" s="4"/>
    </row>
    <row r="25" customFormat="false" ht="15" hidden="false" customHeight="false" outlineLevel="0" collapsed="false">
      <c r="A25" s="4" t="s">
        <v>127</v>
      </c>
      <c r="B25" s="4" t="s">
        <v>33</v>
      </c>
      <c r="C25" s="4" t="s">
        <v>128</v>
      </c>
      <c r="D25" s="4" t="s">
        <v>129</v>
      </c>
      <c r="E25" s="4" t="s">
        <v>130</v>
      </c>
      <c r="F25" s="4" t="s">
        <v>55</v>
      </c>
      <c r="G25" s="4" t="s">
        <v>56</v>
      </c>
      <c r="H25" s="4"/>
    </row>
    <row r="26" customFormat="false" ht="15" hidden="false" customHeight="false" outlineLevel="0" collapsed="false">
      <c r="A26" s="4" t="s">
        <v>131</v>
      </c>
      <c r="B26" s="4" t="s">
        <v>33</v>
      </c>
      <c r="C26" s="4" t="s">
        <v>132</v>
      </c>
      <c r="D26" s="4" t="s">
        <v>133</v>
      </c>
      <c r="E26" s="4" t="s">
        <v>86</v>
      </c>
      <c r="F26" s="4" t="s">
        <v>55</v>
      </c>
      <c r="G26" s="4" t="s">
        <v>56</v>
      </c>
      <c r="H26" s="4"/>
    </row>
    <row r="27" customFormat="false" ht="15" hidden="false" customHeight="false" outlineLevel="0" collapsed="false">
      <c r="A27" s="4" t="s">
        <v>134</v>
      </c>
      <c r="B27" s="4" t="s">
        <v>33</v>
      </c>
      <c r="C27" s="4" t="s">
        <v>69</v>
      </c>
      <c r="D27" s="4" t="s">
        <v>135</v>
      </c>
      <c r="E27" s="4" t="s">
        <v>71</v>
      </c>
      <c r="F27" s="4" t="s">
        <v>55</v>
      </c>
      <c r="G27" s="4" t="s">
        <v>56</v>
      </c>
      <c r="H27" s="4"/>
    </row>
    <row r="29" customFormat="false" ht="15" hidden="false" customHeight="false" outlineLevel="0" collapsed="false">
      <c r="A29" s="5" t="s">
        <v>136</v>
      </c>
      <c r="F29" s="5" t="n">
        <f aca="false">COUNTA(A4:A27)</f>
        <v>24</v>
      </c>
    </row>
    <row r="30" customFormat="false" ht="15" hidden="false" customHeight="false" outlineLevel="0" collapsed="false">
      <c r="A30" s="5" t="s">
        <v>137</v>
      </c>
      <c r="F30" s="5" t="n">
        <f aca="false">COUNTIF(F4:F27,"Aprobada")</f>
        <v>24</v>
      </c>
    </row>
    <row r="31" customFormat="false" ht="15" hidden="false" customHeight="false" outlineLevel="0" collapsed="false">
      <c r="A31" s="5" t="s">
        <v>138</v>
      </c>
      <c r="F31" s="5" t="n">
        <f aca="false">COUNTIF(F4:F27,"Fallida")</f>
        <v>0</v>
      </c>
    </row>
    <row r="32" customFormat="false" ht="15" hidden="false" customHeight="false" outlineLevel="0" collapsed="false">
      <c r="A32" s="5" t="s">
        <v>139</v>
      </c>
      <c r="F32" s="5" t="n">
        <f aca="false">COUNTIF(F4:F27,"Por completar")</f>
        <v>0</v>
      </c>
    </row>
  </sheetData>
  <dataValidations count="1">
    <dataValidation allowBlank="false" errorStyle="stop" operator="between" showDropDown="false" showErrorMessage="false" showInputMessage="false" sqref="F4:F27" type="list">
      <formula1>"Aprobada,Fallida,Por completar"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11"/>
    <col collapsed="false" customWidth="true" hidden="false" outlineLevel="0" max="6" min="5" style="0" width="44"/>
    <col collapsed="false" customWidth="true" hidden="false" outlineLevel="0" max="7" min="7" style="0" width="11"/>
  </cols>
  <sheetData>
    <row r="1" customFormat="false" ht="16.1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2" t="s">
        <v>141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142</v>
      </c>
      <c r="D3" s="3" t="s">
        <v>143</v>
      </c>
      <c r="E3" s="3" t="s">
        <v>144</v>
      </c>
      <c r="F3" s="3" t="s">
        <v>145</v>
      </c>
      <c r="G3" s="3" t="s">
        <v>10</v>
      </c>
    </row>
    <row r="4" customFormat="false" ht="23.85" hidden="false" customHeight="false" outlineLevel="0" collapsed="false">
      <c r="A4" s="4" t="s">
        <v>146</v>
      </c>
      <c r="B4" s="4" t="s">
        <v>11</v>
      </c>
      <c r="C4" s="4" t="s">
        <v>147</v>
      </c>
      <c r="D4" s="4" t="s">
        <v>148</v>
      </c>
      <c r="E4" s="4" t="s">
        <v>149</v>
      </c>
      <c r="F4" s="4" t="s">
        <v>150</v>
      </c>
      <c r="G4" s="4" t="s">
        <v>151</v>
      </c>
    </row>
    <row r="5" customFormat="false" ht="23.85" hidden="false" customHeight="false" outlineLevel="0" collapsed="false">
      <c r="A5" s="4" t="s">
        <v>152</v>
      </c>
      <c r="B5" s="4" t="s">
        <v>33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151</v>
      </c>
    </row>
    <row r="6" customFormat="false" ht="15" hidden="false" customHeight="false" outlineLevel="0" collapsed="false">
      <c r="A6" s="4" t="s">
        <v>157</v>
      </c>
      <c r="B6" s="4" t="s">
        <v>33</v>
      </c>
      <c r="C6" s="4" t="s">
        <v>158</v>
      </c>
      <c r="D6" s="4" t="s">
        <v>154</v>
      </c>
      <c r="E6" s="4" t="s">
        <v>159</v>
      </c>
      <c r="F6" s="4" t="s">
        <v>160</v>
      </c>
      <c r="G6" s="4" t="s">
        <v>151</v>
      </c>
    </row>
    <row r="7" customFormat="false" ht="23.85" hidden="false" customHeight="false" outlineLevel="0" collapsed="false">
      <c r="A7" s="4" t="s">
        <v>161</v>
      </c>
      <c r="B7" s="4" t="s">
        <v>162</v>
      </c>
      <c r="C7" s="4" t="s">
        <v>163</v>
      </c>
      <c r="D7" s="4" t="s">
        <v>164</v>
      </c>
      <c r="E7" s="4" t="s">
        <v>165</v>
      </c>
      <c r="F7" s="4" t="s">
        <v>166</v>
      </c>
      <c r="G7" s="4" t="s">
        <v>151</v>
      </c>
    </row>
    <row r="8" customFormat="false" ht="15" hidden="false" customHeight="false" outlineLevel="0" collapsed="false">
      <c r="A8" s="4" t="s">
        <v>167</v>
      </c>
      <c r="B8" s="4" t="s">
        <v>168</v>
      </c>
      <c r="C8" s="4" t="s">
        <v>169</v>
      </c>
      <c r="D8" s="4" t="s">
        <v>164</v>
      </c>
      <c r="E8" s="4" t="s">
        <v>170</v>
      </c>
      <c r="F8" s="4" t="s">
        <v>171</v>
      </c>
      <c r="G8" s="4" t="s">
        <v>151</v>
      </c>
    </row>
    <row r="9" customFormat="false" ht="15" hidden="false" customHeight="false" outlineLevel="0" collapsed="false">
      <c r="A9" s="4" t="s">
        <v>172</v>
      </c>
      <c r="B9" s="4" t="s">
        <v>162</v>
      </c>
      <c r="C9" s="4" t="s">
        <v>173</v>
      </c>
      <c r="D9" s="4" t="s">
        <v>148</v>
      </c>
      <c r="E9" s="4" t="s">
        <v>174</v>
      </c>
      <c r="F9" s="4" t="s">
        <v>175</v>
      </c>
      <c r="G9" s="4" t="s">
        <v>151</v>
      </c>
    </row>
    <row r="10" customFormat="false" ht="23.85" hidden="false" customHeight="false" outlineLevel="0" collapsed="false">
      <c r="A10" s="4" t="s">
        <v>176</v>
      </c>
      <c r="B10" s="4" t="s">
        <v>33</v>
      </c>
      <c r="C10" s="4" t="s">
        <v>177</v>
      </c>
      <c r="D10" s="4" t="s">
        <v>164</v>
      </c>
      <c r="E10" s="4" t="s">
        <v>178</v>
      </c>
      <c r="F10" s="4" t="s">
        <v>179</v>
      </c>
      <c r="G10" s="4" t="s">
        <v>151</v>
      </c>
    </row>
    <row r="12" customFormat="false" ht="15" hidden="false" customHeight="false" outlineLevel="0" collapsed="false">
      <c r="A12" s="5" t="s">
        <v>180</v>
      </c>
      <c r="C12" s="5" t="n">
        <f aca="false">COUNTIF(G4:G10,"Cerrado")</f>
        <v>7</v>
      </c>
    </row>
    <row r="13" customFormat="false" ht="15" hidden="false" customHeight="false" outlineLevel="0" collapsed="false">
      <c r="A13" s="5" t="s">
        <v>181</v>
      </c>
      <c r="C13" s="5" t="n">
        <f aca="false">COUNTIF(G4:G10,"Abierto")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2026-10-06T00:43:35Z</dcterms:created>
  <dc:creator>openpyxl</dc:creator>
  <dc:description/>
  <dc:language>en-US</dc:language>
  <cp:lastModifiedBy/>
  <dcterms:modified xsi:type="dcterms:W3CDTF">2026-10-06T00:43:35Z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